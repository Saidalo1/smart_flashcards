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ейное программиров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AEEF3"/>
        <bgColor rgb="00DAEE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0" customWidth="1" min="5" max="5"/>
    <col width="10" customWidth="1" min="6" max="6"/>
  </cols>
  <sheetData>
    <row r="1">
      <c r="A1" s="1" t="inlineStr">
        <is>
          <t>ЗАДАЧА: Швейный цех - Линейное программирование</t>
        </is>
      </c>
    </row>
    <row r="3">
      <c r="A3" s="2" t="inlineStr">
        <is>
          <t>Условие:</t>
        </is>
      </c>
    </row>
    <row r="4">
      <c r="A4" t="inlineStr">
        <is>
          <t>Имеется 84 м ткани. Халат требует 4м, куртка - 3м.</t>
        </is>
      </c>
    </row>
    <row r="5">
      <c r="A5" t="inlineStr">
        <is>
          <t>Ограничения: халатов ≤ 15, курток ≥ 20</t>
        </is>
      </c>
    </row>
    <row r="6">
      <c r="A6" t="inlineStr">
        <is>
          <t>Цены: халат = 6 ден.ед., куртка = 3 ден.ед.</t>
        </is>
      </c>
    </row>
    <row r="7">
      <c r="A7" t="inlineStr">
        <is>
          <t>Цель: максимизировать прибыль</t>
        </is>
      </c>
    </row>
    <row r="9">
      <c r="A9" s="2" t="inlineStr">
        <is>
          <t>МАТЕМАТИЧЕСКАЯ МОДЕЛЬ</t>
        </is>
      </c>
    </row>
    <row r="10">
      <c r="A10" t="inlineStr">
        <is>
          <t>Переменные:</t>
        </is>
      </c>
    </row>
    <row r="11">
      <c r="A11" t="inlineStr">
        <is>
          <t>x₁ - количество халатов</t>
        </is>
      </c>
    </row>
    <row r="12">
      <c r="A12" t="inlineStr">
        <is>
          <t>x₂ - количество курток</t>
        </is>
      </c>
    </row>
    <row r="14">
      <c r="A14" t="inlineStr">
        <is>
          <t>Целевая функция (максимизировать):</t>
        </is>
      </c>
      <c r="B14" t="inlineStr">
        <is>
          <t>Z = 6x₁ + 3x₂ → max</t>
        </is>
      </c>
    </row>
    <row r="16">
      <c r="A16" t="inlineStr">
        <is>
          <t>Ограничения:</t>
        </is>
      </c>
    </row>
    <row r="17">
      <c r="A17" t="inlineStr">
        <is>
          <t>4x₁ + 3x₂ ≤ 84  (ткань)</t>
        </is>
      </c>
    </row>
    <row r="18">
      <c r="A18" t="inlineStr">
        <is>
          <t>x₁ ≤ 15  (макс халатов)</t>
        </is>
      </c>
    </row>
    <row r="19">
      <c r="A19" t="inlineStr">
        <is>
          <t>x₂ ≥ 20  (мин курток)</t>
        </is>
      </c>
    </row>
    <row r="20">
      <c r="A20" t="inlineStr">
        <is>
          <t>x₁, x₂ ≥ 0  (неотрицательность)</t>
        </is>
      </c>
    </row>
    <row r="22">
      <c r="A22" s="2" t="inlineStr">
        <is>
          <t>ДАННЫЕ ДЛЯ РЕШЕНИЯ В EXCEL (Поиск решения / Solver)</t>
        </is>
      </c>
    </row>
    <row r="24">
      <c r="A24" s="3" t="inlineStr">
        <is>
          <t>Показатель</t>
        </is>
      </c>
      <c r="B24" s="3" t="inlineStr">
        <is>
          <t>Халат (x₁)</t>
        </is>
      </c>
      <c r="C24" s="3" t="inlineStr">
        <is>
          <t>Куртка (x₂)</t>
        </is>
      </c>
      <c r="D24" s="3" t="inlineStr">
        <is>
          <t>Ограничение</t>
        </is>
      </c>
      <c r="E24" s="3" t="inlineStr">
        <is>
          <t>Знак</t>
        </is>
      </c>
      <c r="F24" s="3" t="inlineStr">
        <is>
          <t>Лимит</t>
        </is>
      </c>
    </row>
    <row r="25">
      <c r="A25" s="4" t="inlineStr">
        <is>
          <t>Расход ткани (м)</t>
        </is>
      </c>
      <c r="B25" s="5" t="n">
        <v>4</v>
      </c>
      <c r="C25" s="5" t="n">
        <v>3</v>
      </c>
      <c r="D25" s="5">
        <f>B25*$B$31+C25*$C$31</f>
        <v/>
      </c>
      <c r="E25" s="5" t="inlineStr">
        <is>
          <t>≤</t>
        </is>
      </c>
      <c r="F25" s="5" t="n">
        <v>84</v>
      </c>
    </row>
    <row r="26">
      <c r="A26" s="4" t="inlineStr">
        <is>
          <t>Макс халатов</t>
        </is>
      </c>
      <c r="B26" s="5" t="n">
        <v>1</v>
      </c>
      <c r="C26" s="5" t="n">
        <v>0</v>
      </c>
      <c r="D26" s="5">
        <f>B26*$B$31+C26*$C$31</f>
        <v/>
      </c>
      <c r="E26" s="5" t="inlineStr">
        <is>
          <t>≤</t>
        </is>
      </c>
      <c r="F26" s="5" t="n">
        <v>15</v>
      </c>
    </row>
    <row r="27">
      <c r="A27" s="4" t="inlineStr">
        <is>
          <t>Мин курток</t>
        </is>
      </c>
      <c r="B27" s="5" t="n">
        <v>0</v>
      </c>
      <c r="C27" s="5" t="n">
        <v>1</v>
      </c>
      <c r="D27" s="5">
        <f>B27*$B$31+C27*$C$31</f>
        <v/>
      </c>
      <c r="E27" s="5" t="inlineStr">
        <is>
          <t>≥</t>
        </is>
      </c>
      <c r="F27" s="5" t="n">
        <v>20</v>
      </c>
    </row>
    <row r="28">
      <c r="A28" s="4" t="inlineStr">
        <is>
          <t>Прибыль (ден.ед.)</t>
        </is>
      </c>
      <c r="B28" s="5" t="n">
        <v>6</v>
      </c>
      <c r="C28" s="5" t="n">
        <v>3</v>
      </c>
      <c r="D28" s="5">
        <f>B28*$B$31+C28*$C$31</f>
        <v/>
      </c>
      <c r="E28" s="5" t="inlineStr">
        <is>
          <t>→max</t>
        </is>
      </c>
      <c r="F28" s="5" t="inlineStr"/>
    </row>
    <row r="30">
      <c r="A30" s="2" t="inlineStr">
        <is>
          <t>ПЕРЕМЕННЫЕ РЕШЕНИЯ</t>
        </is>
      </c>
    </row>
    <row r="31">
      <c r="A31" t="inlineStr">
        <is>
          <t>Значение:</t>
        </is>
      </c>
      <c r="B31" s="6" t="n">
        <v>6</v>
      </c>
      <c r="C31" s="6" t="n">
        <v>20</v>
      </c>
    </row>
    <row r="33">
      <c r="A33" s="2" t="inlineStr">
        <is>
          <t>ОПТИМАЛЬНОЕ РЕШЕНИЕ</t>
        </is>
      </c>
    </row>
    <row r="34">
      <c r="A34" t="inlineStr">
        <is>
          <t>Халатов (x₁):</t>
        </is>
      </c>
      <c r="B34" s="7" t="n">
        <v>6</v>
      </c>
    </row>
    <row r="35">
      <c r="A35" t="inlineStr">
        <is>
          <t>Курток (x₂):</t>
        </is>
      </c>
      <c r="B35" s="7" t="n">
        <v>20</v>
      </c>
    </row>
    <row r="36">
      <c r="A36" t="inlineStr">
        <is>
          <t>Максимальная прибыль Z:</t>
        </is>
      </c>
      <c r="B36" s="7">
        <f>6*B34+3*B35</f>
        <v/>
      </c>
    </row>
    <row r="38">
      <c r="A38" s="2" t="inlineStr">
        <is>
          <t>ПРОВЕРКА ОГРАНИЧЕНИЙ</t>
        </is>
      </c>
    </row>
    <row r="39">
      <c r="A39" t="inlineStr">
        <is>
          <t>Использовано ткани:</t>
        </is>
      </c>
      <c r="B39">
        <f>4*B34+3*B34</f>
        <v/>
      </c>
      <c r="C39" t="inlineStr">
        <is>
          <t>≤ 84 ✓</t>
        </is>
      </c>
    </row>
    <row r="40">
      <c r="A40" t="inlineStr">
        <is>
          <t>Халатов:</t>
        </is>
      </c>
      <c r="B40">
        <f>B34</f>
        <v/>
      </c>
      <c r="C40" t="inlineStr">
        <is>
          <t>≤ 15 ✓</t>
        </is>
      </c>
    </row>
    <row r="41">
      <c r="A41" t="inlineStr">
        <is>
          <t>Курток:</t>
        </is>
      </c>
      <c r="B41">
        <f>B35</f>
        <v/>
      </c>
      <c r="C41" t="inlineStr">
        <is>
          <t>≥ 20 ✓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2025-12-25T17:09:39Z</dcterms:created>
  <dcterms:modified xsi:type="dcterms:W3CDTF">2025-12-25T17:09:39Z</dcterms:modified>
</cp:coreProperties>
</file>