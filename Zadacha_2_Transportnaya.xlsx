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PycharmProjects\smart_flashcards\"/>
    </mc:Choice>
  </mc:AlternateContent>
  <xr:revisionPtr revIDLastSave="0" documentId="8_{398F9D7D-BCBA-4497-88E1-DBBF1C63AD73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Транспортная задача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6" i="1" l="1"/>
  <c r="A44" i="1"/>
  <c r="A40" i="1"/>
  <c r="A39" i="1"/>
  <c r="D35" i="1"/>
  <c r="C35" i="1"/>
  <c r="B35" i="1"/>
  <c r="F34" i="1"/>
  <c r="F33" i="1"/>
  <c r="F32" i="1"/>
  <c r="F31" i="1"/>
</calcChain>
</file>

<file path=xl/sharedStrings.xml><?xml version="1.0" encoding="utf-8"?>
<sst xmlns="http://schemas.openxmlformats.org/spreadsheetml/2006/main" count="42" uniqueCount="36">
  <si>
    <t>ТРАНСПОРТНАЯ ЗАДАЧА</t>
  </si>
  <si>
    <t>ИСХОДНЫЕ ДАННЫЕ</t>
  </si>
  <si>
    <t>Пункты отправления</t>
  </si>
  <si>
    <t>Пункты назначения (потребители)</t>
  </si>
  <si>
    <t>Запасы</t>
  </si>
  <si>
    <t>B₁</t>
  </si>
  <si>
    <t>B₂</t>
  </si>
  <si>
    <t>B₃</t>
  </si>
  <si>
    <t>Стоимость перевозки 1 ед.</t>
  </si>
  <si>
    <t>A₁</t>
  </si>
  <si>
    <t>A₂</t>
  </si>
  <si>
    <t>A₃</t>
  </si>
  <si>
    <t>Потребности</t>
  </si>
  <si>
    <t>Σ = 30</t>
  </si>
  <si>
    <t>МАТЕМАТИЧЕСКАЯ МОДЕЛЬ</t>
  </si>
  <si>
    <t>Переменные: xᵢⱼ - объем перевозки от Aᵢ к Bⱼ</t>
  </si>
  <si>
    <t>Целевая функция (минимизировать):</t>
  </si>
  <si>
    <t>Z = 2x₁₁ + 3x₁₂ + 5x₁₃ + 3x₂₁ + 4x₂₂ + 1x₂₃ + 5x₃₁ + 0x₃₂ + 2x₃₃ → min</t>
  </si>
  <si>
    <t>Ограничения по запасам:</t>
  </si>
  <si>
    <t>x₁₁ + x₁₂ + x₁₃ = 18 (от A₁)</t>
  </si>
  <si>
    <t>x₂₁ + x₂₂ + x₂₃ = 12 (от A₂)</t>
  </si>
  <si>
    <t>x₃₁ + x₃₂ + x₃₃ = 10 (от A₃)</t>
  </si>
  <si>
    <t>Ограничения по потребностям:</t>
  </si>
  <si>
    <t>x₁₁ + x₂₁ + x₃₁ = 4 (для B₁)</t>
  </si>
  <si>
    <t>x₁₂ + x₂₂ + x₃₂ = 10 (для B₂)</t>
  </si>
  <si>
    <t>x₁₃ + x₂₃ + x₃₃ = 16 (для B₃)</t>
  </si>
  <si>
    <t>ОПТИМАЛЬНЫЙ ПЛАН ПЕРЕВОЗОК</t>
  </si>
  <si>
    <t>Поставщики</t>
  </si>
  <si>
    <t>Запас</t>
  </si>
  <si>
    <t>Отправлено</t>
  </si>
  <si>
    <t>Потребность</t>
  </si>
  <si>
    <t>Получено</t>
  </si>
  <si>
    <t>РАСЧЕТ МИНИМАЛЬНОЙ СТОИМОСТИ</t>
  </si>
  <si>
    <t>Стоимость = Σ(cᵢⱼ × xᵢⱼ)</t>
  </si>
  <si>
    <t>Формула Excel:</t>
  </si>
  <si>
    <t>Минимальная стоимость (формула):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</si>
</sst>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AEEF3"/>
        <bgColor rgb="FFDAEEF3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/>
    <xf numFmtId="0" fontId="2" fillId="4" borderId="0" xfId="0" applyFont="1" applyFill="1"/>
    <xf numFmtId="0" fontId="0" fillId="4" borderId="0" xfId="0" applyFill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workbookViewId="0">
      <selection sqref="A1:F1"/>
    </sheetView>
  </sheetViews>
  <sheetFormatPr defaultRowHeight="15" x14ac:dyDescent="0.25"/>
  <cols>
    <col min="1" max="1" width="25" customWidth="1"/>
    <col min="2" max="6" width="12" customWidth="1"/>
  </cols>
  <sheetData>
    <row r="1" spans="1:6" ht="18.75" x14ac:dyDescent="0.3">
      <c r="A1" s="12" t="s">
        <v>0</v>
      </c>
      <c r="B1" s="11"/>
      <c r="C1" s="11"/>
      <c r="D1" s="11"/>
      <c r="E1" s="11"/>
      <c r="F1" s="11"/>
    </row>
    <row r="3" spans="1:6" ht="15.75" x14ac:dyDescent="0.25">
      <c r="A3" s="1" t="s">
        <v>1</v>
      </c>
    </row>
    <row r="5" spans="1:6" ht="15.75" x14ac:dyDescent="0.25">
      <c r="A5" s="10" t="s">
        <v>2</v>
      </c>
      <c r="B5" s="10" t="s">
        <v>3</v>
      </c>
      <c r="C5" s="11"/>
      <c r="D5" s="11"/>
      <c r="E5" s="10" t="s">
        <v>4</v>
      </c>
    </row>
    <row r="6" spans="1:6" x14ac:dyDescent="0.25">
      <c r="A6" s="11"/>
      <c r="B6" t="s">
        <v>5</v>
      </c>
      <c r="C6" t="s">
        <v>6</v>
      </c>
      <c r="D6" t="s">
        <v>7</v>
      </c>
      <c r="E6" s="11"/>
    </row>
    <row r="7" spans="1:6" x14ac:dyDescent="0.25">
      <c r="A7" s="11"/>
      <c r="B7" s="11" t="s">
        <v>8</v>
      </c>
      <c r="C7" s="11"/>
      <c r="D7" s="11"/>
      <c r="E7" s="11"/>
    </row>
    <row r="8" spans="1:6" ht="15.75" x14ac:dyDescent="0.25">
      <c r="A8" s="2" t="s">
        <v>9</v>
      </c>
      <c r="B8" s="3">
        <v>2</v>
      </c>
      <c r="C8" s="3">
        <v>3</v>
      </c>
      <c r="D8" s="3">
        <v>5</v>
      </c>
      <c r="E8" s="4">
        <v>18</v>
      </c>
    </row>
    <row r="9" spans="1:6" ht="15.75" x14ac:dyDescent="0.25">
      <c r="A9" s="2" t="s">
        <v>10</v>
      </c>
      <c r="B9" s="3">
        <v>3</v>
      </c>
      <c r="C9" s="3">
        <v>4</v>
      </c>
      <c r="D9" s="3">
        <v>1</v>
      </c>
      <c r="E9" s="4">
        <v>12</v>
      </c>
    </row>
    <row r="10" spans="1:6" ht="15.75" x14ac:dyDescent="0.25">
      <c r="A10" s="2" t="s">
        <v>11</v>
      </c>
      <c r="B10" s="3">
        <v>5</v>
      </c>
      <c r="C10" s="3">
        <v>0</v>
      </c>
      <c r="D10" s="3">
        <v>2</v>
      </c>
      <c r="E10" s="4">
        <v>10</v>
      </c>
    </row>
    <row r="11" spans="1:6" ht="15.75" x14ac:dyDescent="0.25">
      <c r="A11" s="1" t="s">
        <v>12</v>
      </c>
      <c r="B11" s="4">
        <v>4</v>
      </c>
      <c r="C11" s="4">
        <v>10</v>
      </c>
      <c r="D11" s="4">
        <v>16</v>
      </c>
      <c r="E11" t="s">
        <v>13</v>
      </c>
    </row>
    <row r="13" spans="1:6" ht="15.75" x14ac:dyDescent="0.25">
      <c r="A13" s="1" t="s">
        <v>14</v>
      </c>
    </row>
    <row r="14" spans="1:6" x14ac:dyDescent="0.25">
      <c r="A14" t="s">
        <v>15</v>
      </c>
    </row>
    <row r="15" spans="1:6" x14ac:dyDescent="0.25">
      <c r="A15" t="s">
        <v>16</v>
      </c>
    </row>
    <row r="16" spans="1:6" x14ac:dyDescent="0.25">
      <c r="A16" t="s">
        <v>17</v>
      </c>
    </row>
    <row r="18" spans="1:6" x14ac:dyDescent="0.25">
      <c r="A18" t="s">
        <v>18</v>
      </c>
    </row>
    <row r="19" spans="1:6" x14ac:dyDescent="0.25">
      <c r="A19" t="s">
        <v>19</v>
      </c>
    </row>
    <row r="20" spans="1:6" x14ac:dyDescent="0.25">
      <c r="A20" t="s">
        <v>20</v>
      </c>
    </row>
    <row r="21" spans="1:6" x14ac:dyDescent="0.25">
      <c r="A21" t="s">
        <v>21</v>
      </c>
    </row>
    <row r="23" spans="1:6" x14ac:dyDescent="0.25">
      <c r="A23" t="s">
        <v>22</v>
      </c>
    </row>
    <row r="24" spans="1:6" x14ac:dyDescent="0.25">
      <c r="A24" t="s">
        <v>23</v>
      </c>
    </row>
    <row r="25" spans="1:6" x14ac:dyDescent="0.25">
      <c r="A25" t="s">
        <v>24</v>
      </c>
    </row>
    <row r="26" spans="1:6" x14ac:dyDescent="0.25">
      <c r="A26" t="s">
        <v>25</v>
      </c>
    </row>
    <row r="28" spans="1:6" ht="15.75" x14ac:dyDescent="0.25">
      <c r="A28" s="1" t="s">
        <v>26</v>
      </c>
    </row>
    <row r="30" spans="1:6" ht="15.75" x14ac:dyDescent="0.25">
      <c r="A30" s="5" t="s">
        <v>27</v>
      </c>
      <c r="B30" s="5" t="s">
        <v>5</v>
      </c>
      <c r="C30" s="5" t="s">
        <v>6</v>
      </c>
      <c r="D30" s="5" t="s">
        <v>7</v>
      </c>
      <c r="E30" s="5" t="s">
        <v>28</v>
      </c>
      <c r="F30" s="5" t="s">
        <v>29</v>
      </c>
    </row>
    <row r="31" spans="1:6" x14ac:dyDescent="0.25">
      <c r="A31" s="4" t="s">
        <v>9</v>
      </c>
      <c r="B31" s="6">
        <v>4</v>
      </c>
      <c r="C31" s="6">
        <v>0</v>
      </c>
      <c r="D31" s="6">
        <v>14</v>
      </c>
      <c r="E31" s="4">
        <v>18</v>
      </c>
      <c r="F31" s="4">
        <f>B31+C31+D31</f>
        <v>18</v>
      </c>
    </row>
    <row r="32" spans="1:6" x14ac:dyDescent="0.25">
      <c r="A32" s="4" t="s">
        <v>10</v>
      </c>
      <c r="B32" s="6">
        <v>0</v>
      </c>
      <c r="C32" s="6">
        <v>0</v>
      </c>
      <c r="D32" s="6">
        <v>2</v>
      </c>
      <c r="E32" s="4">
        <v>12</v>
      </c>
      <c r="F32" s="4">
        <f>B32+C32+D32</f>
        <v>2</v>
      </c>
    </row>
    <row r="33" spans="1:6" x14ac:dyDescent="0.25">
      <c r="A33" s="4" t="s">
        <v>11</v>
      </c>
      <c r="B33" s="6">
        <v>0</v>
      </c>
      <c r="C33" s="6">
        <v>10</v>
      </c>
      <c r="D33" s="6">
        <v>0</v>
      </c>
      <c r="E33" s="4">
        <v>10</v>
      </c>
      <c r="F33" s="4">
        <f>B33+C33+D33</f>
        <v>10</v>
      </c>
    </row>
    <row r="34" spans="1:6" ht="15.75" x14ac:dyDescent="0.25">
      <c r="A34" s="2" t="s">
        <v>30</v>
      </c>
      <c r="B34" s="2">
        <v>4</v>
      </c>
      <c r="C34" s="2">
        <v>10</v>
      </c>
      <c r="D34" s="2">
        <v>16</v>
      </c>
      <c r="E34" s="2">
        <v>30</v>
      </c>
      <c r="F34" s="2">
        <f>SUM(F31:F33)</f>
        <v>30</v>
      </c>
    </row>
    <row r="35" spans="1:6" x14ac:dyDescent="0.25">
      <c r="A35" s="7" t="s">
        <v>31</v>
      </c>
      <c r="B35" s="7">
        <f>SUM(B31:B33)</f>
        <v>4</v>
      </c>
      <c r="C35" s="7">
        <f>SUM(C31:C33)</f>
        <v>10</v>
      </c>
      <c r="D35" s="7">
        <f>SUM(D31:D33)</f>
        <v>16</v>
      </c>
    </row>
    <row r="37" spans="1:6" ht="15.75" x14ac:dyDescent="0.25">
      <c r="A37" s="1" t="s">
        <v>32</v>
      </c>
    </row>
    <row r="38" spans="1:6" x14ac:dyDescent="0.25">
      <c r="A38" t="s">
        <v>33</v>
      </c>
    </row>
    <row r="39" spans="1:6" x14ac:dyDescent="0.25">
      <c r="A39">
        <f>2*4 + 3*0 + 5*14 + 3*0 + 4*0 + 1*2 + 5*0 + 0*10 + 2*0</f>
        <v>80</v>
      </c>
    </row>
    <row r="40" spans="1:6" x14ac:dyDescent="0.25">
      <c r="A40">
        <f>8 + 0 + 70 + 0 + 0 + 2 + 0 + 0 + 0</f>
        <v>80</v>
      </c>
    </row>
    <row r="41" spans="1:6" ht="15.75" x14ac:dyDescent="0.25">
      <c r="A41" s="8"/>
    </row>
    <row r="43" spans="1:6" x14ac:dyDescent="0.25">
      <c r="A43" t="s">
        <v>34</v>
      </c>
    </row>
    <row r="44" spans="1:6" x14ac:dyDescent="0.25">
      <c r="A44">
        <f>SUMPRODUCT(B8:D10,B31:D33)</f>
        <v>80</v>
      </c>
    </row>
    <row r="46" spans="1:6" x14ac:dyDescent="0.25">
      <c r="A46" t="s">
        <v>35</v>
      </c>
      <c r="B46" s="9">
        <f>SUMPRODUCT(B8:D10,B31:D33)</f>
        <v>80</v>
      </c>
    </row>
  </sheetData>
  <mergeCells count="5">
    <mergeCell ref="B5:D5"/>
    <mergeCell ref="A1:F1"/>
    <mergeCell ref="A5:A7"/>
    <mergeCell ref="E5:E7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Транспортная задача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Saidahmedov Saida'lo</cp:lastModifiedBy>
  <dcterms:created xsi:type="dcterms:W3CDTF">2025-12-25T17:09:39Z</dcterms:created>
  <dcterms:modified xsi:type="dcterms:W3CDTF">2025-12-25T17:10:17Z</dcterms:modified>
</cp:coreProperties>
</file>